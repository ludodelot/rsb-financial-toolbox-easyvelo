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P&amp;L" sheetId="2" r:id="rId6"/>
    <sheet state="visible" name="BS" sheetId="3" r:id="rId7"/>
    <sheet state="visible" name="Cost of Capital" sheetId="4" r:id="rId8"/>
    <sheet state="visible" name="Break Even" sheetId="5" r:id="rId9"/>
  </sheets>
  <definedNames/>
  <calcPr/>
</workbook>
</file>

<file path=xl/sharedStrings.xml><?xml version="1.0" encoding="utf-8"?>
<sst xmlns="http://schemas.openxmlformats.org/spreadsheetml/2006/main" count="146" uniqueCount="117">
  <si>
    <t>Balance Sheet</t>
  </si>
  <si>
    <t xml:space="preserve">Cost of Capital </t>
  </si>
  <si>
    <t>P&amp;L</t>
  </si>
  <si>
    <t>Easy Velo initial investment</t>
  </si>
  <si>
    <t xml:space="preserve">Total Capital </t>
  </si>
  <si>
    <t>Profit &amp; Loss Statement</t>
  </si>
  <si>
    <t>as of nov 2025</t>
  </si>
  <si>
    <t>Sales</t>
  </si>
  <si>
    <t xml:space="preserve">Quantity </t>
  </si>
  <si>
    <t>Fixed Assets</t>
  </si>
  <si>
    <t xml:space="preserve">Monthly </t>
  </si>
  <si>
    <t xml:space="preserve">Measure </t>
  </si>
  <si>
    <t xml:space="preserve">Link </t>
  </si>
  <si>
    <t>Store Furniture</t>
  </si>
  <si>
    <t xml:space="preserve">Yearly </t>
  </si>
  <si>
    <t xml:space="preserve">Initial Investment </t>
  </si>
  <si>
    <t>Machinery and tools</t>
  </si>
  <si>
    <t>Weight of Debt</t>
  </si>
  <si>
    <t>Bikes</t>
  </si>
  <si>
    <t>Net Fixed Assets</t>
  </si>
  <si>
    <t xml:space="preserve">We will purchase 350 bikes </t>
  </si>
  <si>
    <t xml:space="preserve">Monthly Subscriptions </t>
  </si>
  <si>
    <t>Units</t>
  </si>
  <si>
    <t xml:space="preserve">Average price of a second-use bike </t>
  </si>
  <si>
    <t>Euros</t>
  </si>
  <si>
    <t>https://www.decathlon.fr/p/velo-vtt-randonnee-st-120-noir-bleu-27-5/_/R-p-305496?mc=8640691&amp;c=gris_orange</t>
  </si>
  <si>
    <t>Curret Assets</t>
  </si>
  <si>
    <t>Inventory</t>
  </si>
  <si>
    <t>Weight of Equity</t>
  </si>
  <si>
    <t>Cash</t>
  </si>
  <si>
    <t>Total current assets</t>
  </si>
  <si>
    <t xml:space="preserve">One-time fee for new users </t>
  </si>
  <si>
    <t>WACC</t>
  </si>
  <si>
    <t>Current Liabilities</t>
  </si>
  <si>
    <t>Private loan</t>
  </si>
  <si>
    <t>Total current liabilites</t>
  </si>
  <si>
    <t>Working capital</t>
  </si>
  <si>
    <t xml:space="preserve">Total Sales </t>
  </si>
  <si>
    <t>Assumptions</t>
  </si>
  <si>
    <t>Cost of equity (Risk Free)</t>
  </si>
  <si>
    <t xml:space="preserve">Total assets less current liabilities </t>
  </si>
  <si>
    <t>Cost of debt (Loan interest)</t>
  </si>
  <si>
    <t>Tax</t>
  </si>
  <si>
    <t>Cost of Goods Sold (COGS)</t>
  </si>
  <si>
    <t>Long term liablities</t>
  </si>
  <si>
    <t xml:space="preserve">Sales </t>
  </si>
  <si>
    <t>Bank Loan</t>
  </si>
  <si>
    <t>Net assets</t>
  </si>
  <si>
    <t xml:space="preserve">80% of bikes will be occupied </t>
  </si>
  <si>
    <t xml:space="preserve">   - Bike Maintenance</t>
  </si>
  <si>
    <t>Financed by:</t>
  </si>
  <si>
    <t xml:space="preserve">Loans </t>
  </si>
  <si>
    <t xml:space="preserve">Savings </t>
  </si>
  <si>
    <t xml:space="preserve">Units </t>
  </si>
  <si>
    <t>Equity</t>
  </si>
  <si>
    <t xml:space="preserve">Monthly subscription </t>
  </si>
  <si>
    <t xml:space="preserve">   - App Maintenance</t>
  </si>
  <si>
    <t xml:space="preserve">Euros </t>
  </si>
  <si>
    <t>https://swapfiets.fr/</t>
  </si>
  <si>
    <t xml:space="preserve">   - Operational Staff Salaries</t>
  </si>
  <si>
    <t>Total COGS</t>
  </si>
  <si>
    <t xml:space="preserve">Fee for new customers </t>
  </si>
  <si>
    <t xml:space="preserve">Costs of Goods Sold </t>
  </si>
  <si>
    <t xml:space="preserve">5% of bikes in use will need maintenance </t>
  </si>
  <si>
    <t>Gross Profit</t>
  </si>
  <si>
    <t xml:space="preserve">Gross Profit </t>
  </si>
  <si>
    <t xml:space="preserve">Average price for general maintenance </t>
  </si>
  <si>
    <t xml:space="preserve">Operating Expenses </t>
  </si>
  <si>
    <t xml:space="preserve">Monthly app maintenance cost </t>
  </si>
  <si>
    <t xml:space="preserve">   - Rent</t>
  </si>
  <si>
    <t xml:space="preserve">Wage for 1 part-time mechanic per month </t>
  </si>
  <si>
    <t>https://www.playroll.com/minimum-wage/france#:~:text=compliance%20for%20you.-,What%20Is%20the%20Minimum%20Wage%20in%20France%3F,monthly%20salary%20of%20%E2%82%AC1%2C801.80.</t>
  </si>
  <si>
    <t xml:space="preserve">   - Marketing</t>
  </si>
  <si>
    <t xml:space="preserve">   - Administrative Wages</t>
  </si>
  <si>
    <t>Total Operating Expenses</t>
  </si>
  <si>
    <t xml:space="preserve">Operating Costs </t>
  </si>
  <si>
    <t xml:space="preserve">Rent of a store per month </t>
  </si>
  <si>
    <t>https://www.bureauxlocaux.com/annonce/local-commercial-rennes-centre--5439-1594359</t>
  </si>
  <si>
    <t xml:space="preserve">Profit Before Interest &amp; Tax </t>
  </si>
  <si>
    <t>Income Tax (15%)</t>
  </si>
  <si>
    <t xml:space="preserve">Income Tax </t>
  </si>
  <si>
    <t xml:space="preserve">Marketing &amp; Advertising costs per month </t>
  </si>
  <si>
    <t xml:space="preserve">Wage for 1 part-time administrative person </t>
  </si>
  <si>
    <t xml:space="preserve">Tax </t>
  </si>
  <si>
    <t xml:space="preserve">% on income Tax </t>
  </si>
  <si>
    <t xml:space="preserve">Net Profit </t>
  </si>
  <si>
    <t xml:space="preserve">% </t>
  </si>
  <si>
    <t>Division of 80% -20% of Bikes</t>
  </si>
  <si>
    <t xml:space="preserve">We consider to utilize 80% of bikes based on another case study from Urban Cycle solutions as they achieve 67% of their feet utilization, bringing it to our case as in Rennes we see viable to achieve our target number of 80. </t>
  </si>
  <si>
    <t>https://www.leoconsult.org/case-studies/bike_rentals_case_study.html?utm_source=chatgpt.com</t>
  </si>
  <si>
    <t xml:space="preserve">Break-even point (first year) </t>
  </si>
  <si>
    <t xml:space="preserve">Monthly subscription price </t>
  </si>
  <si>
    <t xml:space="preserve">Fixed Assets </t>
  </si>
  <si>
    <t xml:space="preserve">Total price </t>
  </si>
  <si>
    <t>We are considering 80% of the bikes as FA</t>
  </si>
  <si>
    <t>Keeping the average price of 300 eur per bike</t>
  </si>
  <si>
    <t>euros</t>
  </si>
  <si>
    <t>We are considering tools and machinery</t>
  </si>
  <si>
    <t>Current Assets</t>
  </si>
  <si>
    <t xml:space="preserve">Maintenance cost </t>
  </si>
  <si>
    <t xml:space="preserve">Total variable costs </t>
  </si>
  <si>
    <t>We are considering  20% of bikes as CA</t>
  </si>
  <si>
    <t xml:space="preserve">units </t>
  </si>
  <si>
    <t>Same price</t>
  </si>
  <si>
    <t xml:space="preserve">Marginal Contribution </t>
  </si>
  <si>
    <t>We are keeping $20k from private capital as cash</t>
  </si>
  <si>
    <t xml:space="preserve">We are taking a private loan from an angel investor to operate for the first 3 months </t>
  </si>
  <si>
    <t>Long Term  Liabilities</t>
  </si>
  <si>
    <t>We are taking a bank loan to cover some of the initial expenses we are considering 70% loan and a 30% private capital</t>
  </si>
  <si>
    <t xml:space="preserve">Fixed costs </t>
  </si>
  <si>
    <t>Cost of Capital Assumptions</t>
  </si>
  <si>
    <t>Break-even point (number of subscriptions)</t>
  </si>
  <si>
    <t>Cost of equity,  10 year french bond  “Obligation Assimilable du Trésor”</t>
  </si>
  <si>
    <t>Break-even point (Price of subscriptions )</t>
  </si>
  <si>
    <t>https://www.theglobaleconomy.com/France/business_credit_interest_rate/?utm_source=chatgpt.com</t>
  </si>
  <si>
    <t>Cost of debt, Loan interest asume based on average interest given by banks</t>
  </si>
  <si>
    <t>https://www.banque-france.fr/en/statistics/loans/financing-entreprises-2025-01?utm_source=chatgpt.com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</si>
</sst>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€]#,##0"/>
    <numFmt numFmtId="166" formatCode="&quot;$&quot;#,##0"/>
  </numFmts>
  <fonts count="13">
    <font>
      <sz val="10.0"/>
      <color rgb="FF000000"/>
      <name val="Arial"/>
      <scheme val="minor"/>
    </font>
    <font>
      <b/>
      <color theme="1"/>
      <name val="Montserrat"/>
    </font>
    <font>
      <b/>
      <sz val="17.0"/>
      <color rgb="FF0B5394"/>
      <name val="Montserrat"/>
    </font>
    <font>
      <b/>
      <color theme="0"/>
      <name val="Montserrat"/>
    </font>
    <font>
      <b/>
      <sz val="11.0"/>
      <color rgb="FF0B5394"/>
      <name val="Montserrat"/>
    </font>
    <font>
      <b/>
      <color rgb="FF000000"/>
      <name val="Montserrat"/>
    </font>
    <font>
      <b/>
      <sz val="9.0"/>
      <color rgb="FF0B5394"/>
      <name val="Montserrat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Montserrat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</fills>
  <borders count="3">
    <border/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164" xfId="0" applyFont="1" applyNumberFormat="1"/>
    <xf borderId="0" fillId="2" fontId="9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2" fontId="9" numFmtId="165" xfId="0" applyAlignment="1" applyFill="1" applyFont="1" applyNumberFormat="1">
      <alignment horizontal="center" readingOrder="0"/>
    </xf>
    <xf borderId="0" fillId="3" fontId="5" numFmtId="164" xfId="0" applyAlignment="1" applyFill="1" applyFont="1" applyNumberFormat="1">
      <alignment readingOrder="0"/>
    </xf>
    <xf borderId="0" fillId="2" fontId="9" numFmtId="0" xfId="0" applyAlignment="1" applyFill="1" applyFont="1">
      <alignment horizontal="center" readingOrder="0"/>
    </xf>
    <xf borderId="0" fillId="2" fontId="10" numFmtId="0" xfId="0" applyAlignment="1" applyFill="1" applyFont="1">
      <alignment readingOrder="0"/>
    </xf>
    <xf borderId="0" fillId="2" fontId="8" numFmtId="0" xfId="0" applyFill="1" applyFont="1"/>
    <xf borderId="0" fillId="0" fontId="8" numFmtId="164" xfId="0" applyAlignment="1" applyFont="1" applyNumberFormat="1">
      <alignment readingOrder="0"/>
    </xf>
    <xf borderId="0" fillId="3" fontId="5" numFmtId="165" xfId="0" applyAlignment="1" applyFill="1" applyFont="1" applyNumberFormat="1">
      <alignment readingOrder="0"/>
    </xf>
    <xf borderId="0" fillId="3" fontId="5" numFmtId="10" xfId="0" applyAlignment="1" applyFill="1" applyFont="1" applyNumberFormat="1">
      <alignment readingOrder="0"/>
    </xf>
    <xf borderId="0" fillId="0" fontId="11" numFmtId="0" xfId="0" applyAlignment="1" applyFont="1">
      <alignment readingOrder="0"/>
    </xf>
    <xf borderId="0" fillId="2" fontId="3" numFmtId="10" xfId="0" applyAlignment="1" applyFill="1" applyFont="1" applyNumberFormat="1">
      <alignment readingOrder="0"/>
    </xf>
    <xf borderId="0" fillId="2" fontId="3" numFmtId="164" xfId="0" applyAlignment="1" applyFill="1" applyFont="1" applyNumberFormat="1">
      <alignment readingOrder="0"/>
    </xf>
    <xf borderId="0" fillId="0" fontId="8" numFmtId="0" xfId="0" applyFont="1"/>
    <xf borderId="0" fillId="2" fontId="9" numFmtId="165" xfId="0" applyAlignment="1" applyFill="1" applyFont="1" applyNumberFormat="1">
      <alignment readingOrder="0"/>
    </xf>
    <xf borderId="0" fillId="2" fontId="1" numFmtId="0" xfId="0" applyFill="1" applyFont="1"/>
    <xf borderId="0" fillId="0" fontId="8" numFmtId="9" xfId="0" applyAlignment="1" applyFont="1" applyNumberFormat="1">
      <alignment readingOrder="0"/>
    </xf>
    <xf borderId="1" fillId="3" fontId="5" numFmtId="0" xfId="0" applyAlignment="1" applyBorder="1" applyFill="1" applyFont="1">
      <alignment readingOrder="0"/>
    </xf>
    <xf borderId="0" fillId="0" fontId="8" numFmtId="0" xfId="0" applyAlignment="1" applyFont="1">
      <alignment readingOrder="0" shrinkToFit="0" wrapText="1"/>
    </xf>
    <xf borderId="1" fillId="3" fontId="5" numFmtId="165" xfId="0" applyAlignment="1" applyBorder="1" applyFill="1" applyFont="1" applyNumberFormat="1">
      <alignment readingOrder="0"/>
    </xf>
    <xf borderId="2" fillId="2" fontId="10" numFmtId="0" xfId="0" applyAlignment="1" applyBorder="1" applyFill="1" applyFont="1">
      <alignment readingOrder="0"/>
    </xf>
    <xf borderId="2" fillId="0" fontId="8" numFmtId="0" xfId="0" applyAlignment="1" applyBorder="1" applyFont="1">
      <alignment readingOrder="0"/>
    </xf>
    <xf borderId="0" fillId="0" fontId="12" numFmtId="0" xfId="0" applyAlignment="1" applyFont="1">
      <alignment readingOrder="0" vertical="center"/>
    </xf>
    <xf borderId="2" fillId="0" fontId="8" numFmtId="164" xfId="0" applyAlignment="1" applyBorder="1" applyFont="1" applyNumberFormat="1">
      <alignment readingOrder="0"/>
    </xf>
    <xf borderId="2" fillId="0" fontId="8" numFmtId="164" xfId="0" applyBorder="1" applyFont="1" applyNumberFormat="1"/>
    <xf borderId="2" fillId="0" fontId="8" numFmtId="0" xfId="0" applyBorder="1" applyFont="1"/>
    <xf borderId="2" fillId="0" fontId="8" numFmtId="1" xfId="0" applyBorder="1" applyFont="1" applyNumberFormat="1"/>
    <xf borderId="2" fillId="0" fontId="8" numFmtId="10" xfId="0" applyAlignment="1" applyBorder="1" applyFont="1" applyNumberFormat="1">
      <alignment readingOrder="0"/>
    </xf>
    <xf borderId="2" fillId="0" fontId="8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cathlon.fr/p/velo-vtt-randonnee-st-120-noir-bleu-27-5/_/R-p-305496?mc=8640691&amp;c=gris_orange" TargetMode="External"/><Relationship Id="rId2" Type="http://schemas.openxmlformats.org/officeDocument/2006/relationships/hyperlink" Target="https://swapfiets.fr/" TargetMode="External"/><Relationship Id="rId3" Type="http://schemas.openxmlformats.org/officeDocument/2006/relationships/hyperlink" Target="https://www.playroll.com/minimum-wage/france" TargetMode="External"/><Relationship Id="rId4" Type="http://schemas.openxmlformats.org/officeDocument/2006/relationships/hyperlink" Target="https://www.bureauxlocaux.com/annonce/local-commercial-rennes-centre--5439-1594359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playroll.com/minimum-wage/france" TargetMode="External"/><Relationship Id="rId6" Type="http://schemas.openxmlformats.org/officeDocument/2006/relationships/hyperlink" Target="https://www.leoconsult.org/case-studies/bike_rentals_case_study.html?utm_source=chatgpt.com" TargetMode="External"/><Relationship Id="rId7" Type="http://schemas.openxmlformats.org/officeDocument/2006/relationships/hyperlink" Target="https://www.theglobaleconomy.com/France/business_credit_interest_rate/?utm_source=chatgpt.com" TargetMode="External"/><Relationship Id="rId8" Type="http://schemas.openxmlformats.org/officeDocument/2006/relationships/hyperlink" Target="https://www.banque-france.fr/en/statistics/loans/financing-entreprises-2025-01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59.75"/>
    <col customWidth="1" min="5" max="5" width="83.5"/>
  </cols>
  <sheetData>
    <row r="1">
      <c r="B1" s="7" t="s">
        <v>2</v>
      </c>
    </row>
    <row r="2">
      <c r="C2" s="10" t="s">
        <v>8</v>
      </c>
      <c r="D2" s="10" t="s">
        <v>11</v>
      </c>
      <c r="E2" s="10" t="s">
        <v>12</v>
      </c>
    </row>
    <row r="3">
      <c r="B3" s="14" t="s">
        <v>15</v>
      </c>
      <c r="C3" s="15"/>
      <c r="D3" s="15"/>
      <c r="E3" s="15"/>
    </row>
    <row r="4">
      <c r="B4" s="10" t="s">
        <v>20</v>
      </c>
      <c r="C4" s="10">
        <v>350.0</v>
      </c>
      <c r="D4" s="10" t="s">
        <v>22</v>
      </c>
    </row>
    <row r="5">
      <c r="B5" s="10" t="s">
        <v>23</v>
      </c>
      <c r="C5" s="16">
        <v>300.0</v>
      </c>
      <c r="D5" s="10" t="s">
        <v>24</v>
      </c>
      <c r="E5" s="19" t="s">
        <v>25</v>
      </c>
      <c r="I5" s="10">
        <v>25.5</v>
      </c>
      <c r="K5" s="22">
        <f>I5-I6</f>
        <v>19.5</v>
      </c>
    </row>
    <row r="6">
      <c r="B6" s="14" t="s">
        <v>45</v>
      </c>
      <c r="C6" s="15"/>
      <c r="D6" s="15"/>
      <c r="E6" s="15"/>
      <c r="I6" s="10">
        <f>6</f>
        <v>6</v>
      </c>
    </row>
    <row r="7">
      <c r="B7" s="10" t="s">
        <v>48</v>
      </c>
      <c r="C7" s="22">
        <f>C4*0.8 </f>
        <v>280</v>
      </c>
      <c r="D7" s="10" t="s">
        <v>53</v>
      </c>
    </row>
    <row r="8">
      <c r="B8" s="10" t="s">
        <v>55</v>
      </c>
      <c r="C8" s="16">
        <v>15.5</v>
      </c>
      <c r="D8" s="10" t="s">
        <v>57</v>
      </c>
      <c r="E8" s="19" t="s">
        <v>58</v>
      </c>
      <c r="L8" s="8">
        <v>2970.0</v>
      </c>
    </row>
    <row r="9">
      <c r="B9" s="10" t="s">
        <v>61</v>
      </c>
      <c r="C9" s="16">
        <v>10.0</v>
      </c>
      <c r="D9" s="10" t="s">
        <v>57</v>
      </c>
    </row>
    <row r="10">
      <c r="B10" s="14" t="s">
        <v>62</v>
      </c>
      <c r="C10" s="15"/>
      <c r="D10" s="15"/>
      <c r="E10" s="15"/>
    </row>
    <row r="11">
      <c r="B11" s="10" t="s">
        <v>63</v>
      </c>
      <c r="C11" s="22">
        <f>C7*0.05</f>
        <v>14</v>
      </c>
      <c r="D11" s="10" t="s">
        <v>53</v>
      </c>
    </row>
    <row r="12">
      <c r="B12" s="10" t="s">
        <v>66</v>
      </c>
      <c r="C12" s="16">
        <v>6.0</v>
      </c>
      <c r="D12" s="10" t="s">
        <v>57</v>
      </c>
      <c r="M12" s="8">
        <f>L8/K5</f>
        <v>152.3076923</v>
      </c>
    </row>
    <row r="13">
      <c r="B13" s="10" t="s">
        <v>68</v>
      </c>
      <c r="C13" s="16">
        <v>200.0</v>
      </c>
      <c r="D13" s="10" t="s">
        <v>57</v>
      </c>
    </row>
    <row r="14">
      <c r="B14" s="10" t="s">
        <v>70</v>
      </c>
      <c r="C14" s="16">
        <v>570.0</v>
      </c>
      <c r="D14" s="10" t="s">
        <v>57</v>
      </c>
      <c r="E14" s="19" t="s">
        <v>71</v>
      </c>
      <c r="M14" s="8">
        <f>M12*15.5</f>
        <v>2360.769231</v>
      </c>
    </row>
    <row r="15">
      <c r="B15" s="14" t="s">
        <v>75</v>
      </c>
      <c r="C15" s="15"/>
      <c r="D15" s="15"/>
      <c r="E15" s="15"/>
    </row>
    <row r="16">
      <c r="B16" s="10" t="s">
        <v>76</v>
      </c>
      <c r="C16" s="16">
        <v>1200.0</v>
      </c>
      <c r="D16" s="10" t="s">
        <v>57</v>
      </c>
      <c r="E16" s="19" t="s">
        <v>77</v>
      </c>
    </row>
    <row r="17">
      <c r="B17" s="10" t="s">
        <v>81</v>
      </c>
      <c r="C17" s="16">
        <v>500.0</v>
      </c>
      <c r="D17" s="10" t="s">
        <v>57</v>
      </c>
    </row>
    <row r="18">
      <c r="B18" s="10" t="s">
        <v>82</v>
      </c>
      <c r="C18" s="16">
        <v>500.0</v>
      </c>
      <c r="D18" s="10" t="s">
        <v>57</v>
      </c>
      <c r="E18" s="19" t="s">
        <v>71</v>
      </c>
    </row>
    <row r="19">
      <c r="B19" s="14" t="s">
        <v>83</v>
      </c>
      <c r="C19" s="15"/>
      <c r="D19" s="15"/>
      <c r="E19" s="15"/>
    </row>
    <row r="20">
      <c r="B20" s="10" t="s">
        <v>84</v>
      </c>
      <c r="C20" s="25">
        <v>0.15</v>
      </c>
      <c r="D20" s="10" t="s">
        <v>86</v>
      </c>
    </row>
    <row r="22">
      <c r="B22" s="7" t="s">
        <v>0</v>
      </c>
      <c r="C22" s="10" t="s">
        <v>8</v>
      </c>
      <c r="D22" s="10" t="s">
        <v>11</v>
      </c>
      <c r="E22" s="10" t="s">
        <v>12</v>
      </c>
    </row>
    <row r="23">
      <c r="B23" s="14" t="s">
        <v>87</v>
      </c>
      <c r="C23" s="14"/>
      <c r="D23" s="14"/>
      <c r="E23" s="14"/>
    </row>
    <row r="24" ht="45.0" customHeight="1">
      <c r="B24" s="27" t="s">
        <v>88</v>
      </c>
      <c r="C24" s="10"/>
      <c r="D24" s="10"/>
      <c r="E24" s="31" t="s">
        <v>89</v>
      </c>
    </row>
    <row r="25">
      <c r="B25" s="10"/>
      <c r="C25" s="10"/>
      <c r="D25" s="10"/>
      <c r="E25" s="10"/>
    </row>
    <row r="26">
      <c r="B26" s="14" t="s">
        <v>92</v>
      </c>
      <c r="C26" s="14"/>
      <c r="D26" s="14"/>
      <c r="E26" s="14"/>
    </row>
    <row r="27">
      <c r="B27" s="10" t="s">
        <v>94</v>
      </c>
      <c r="C27" s="10">
        <v>280.0</v>
      </c>
      <c r="D27" s="10" t="s">
        <v>22</v>
      </c>
    </row>
    <row r="28">
      <c r="B28" s="10" t="s">
        <v>95</v>
      </c>
      <c r="C28" s="8">
        <f>C27*300</f>
        <v>84000</v>
      </c>
      <c r="D28" s="10" t="s">
        <v>96</v>
      </c>
    </row>
    <row r="29">
      <c r="B29" s="10" t="s">
        <v>97</v>
      </c>
      <c r="C29" s="16">
        <v>1700.0</v>
      </c>
      <c r="D29" s="10" t="s">
        <v>96</v>
      </c>
    </row>
    <row r="30">
      <c r="B30" s="14" t="s">
        <v>98</v>
      </c>
      <c r="C30" s="14"/>
      <c r="D30" s="14"/>
      <c r="E30" s="14"/>
    </row>
    <row r="31">
      <c r="B31" s="10" t="s">
        <v>101</v>
      </c>
      <c r="C31" s="10">
        <v>70.0</v>
      </c>
      <c r="D31" s="10" t="s">
        <v>102</v>
      </c>
    </row>
    <row r="32">
      <c r="B32" s="10" t="s">
        <v>103</v>
      </c>
      <c r="C32" s="8">
        <f>C31*300</f>
        <v>21000</v>
      </c>
      <c r="D32" s="10" t="s">
        <v>96</v>
      </c>
    </row>
    <row r="33">
      <c r="B33" s="10" t="s">
        <v>105</v>
      </c>
      <c r="C33" s="16">
        <v>20000.0</v>
      </c>
      <c r="D33" s="10" t="s">
        <v>96</v>
      </c>
    </row>
    <row r="34">
      <c r="B34" s="14" t="s">
        <v>33</v>
      </c>
      <c r="C34" s="14"/>
      <c r="D34" s="14"/>
      <c r="E34" s="14"/>
    </row>
    <row r="35">
      <c r="B35" s="10" t="s">
        <v>106</v>
      </c>
      <c r="C35" s="16">
        <v>11000.0</v>
      </c>
      <c r="D35" s="10" t="s">
        <v>96</v>
      </c>
    </row>
    <row r="36">
      <c r="B36" s="14" t="s">
        <v>107</v>
      </c>
      <c r="C36" s="14"/>
      <c r="D36" s="14"/>
      <c r="E36" s="14"/>
    </row>
    <row r="37">
      <c r="B37" s="10" t="s">
        <v>108</v>
      </c>
      <c r="C37" s="16">
        <v>80000.0</v>
      </c>
      <c r="D37" s="10" t="s">
        <v>96</v>
      </c>
    </row>
    <row r="40">
      <c r="B40" s="29" t="s">
        <v>110</v>
      </c>
      <c r="C40" s="29"/>
    </row>
    <row r="41">
      <c r="B41" s="30" t="s">
        <v>112</v>
      </c>
      <c r="C41" s="36">
        <v>0.0346</v>
      </c>
      <c r="E41" s="19" t="s">
        <v>114</v>
      </c>
    </row>
    <row r="42">
      <c r="B42" s="30" t="s">
        <v>115</v>
      </c>
      <c r="C42" s="36">
        <v>0.06</v>
      </c>
      <c r="E42" s="19" t="s">
        <v>116</v>
      </c>
    </row>
    <row r="43">
      <c r="B43" s="30" t="s">
        <v>42</v>
      </c>
      <c r="C43" s="36">
        <v>0.15</v>
      </c>
    </row>
  </sheetData>
  <hyperlinks>
    <hyperlink r:id="rId1" ref="E5"/>
    <hyperlink r:id="rId2" ref="E8"/>
    <hyperlink r:id="rId3" location=":~:text=compliance%20for%20you.-,What%20Is%20the%20Minimum%20Wage%20in%20France%3F,monthly%20salary%20of%20%E2%82%AC1%2C801.80." ref="E14"/>
    <hyperlink r:id="rId4" ref="E16"/>
    <hyperlink r:id="rId5" location=":~:text=compliance%20for%20you.-,What%20Is%20the%20Minimum%20Wage%20in%20France%3F,monthly%20salary%20of%20%E2%82%AC1%2C801.80." ref="E18"/>
    <hyperlink r:id="rId6" ref="E24"/>
    <hyperlink r:id="rId7" ref="E41"/>
    <hyperlink r:id="rId8" ref="E42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7</v>
      </c>
      <c r="C5" s="11" t="s">
        <v>10</v>
      </c>
      <c r="D5" s="13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21</v>
      </c>
      <c r="C6" s="17">
        <f>Assumptions!C7*Assumptions!C8</f>
        <v>4340</v>
      </c>
      <c r="D6" s="17">
        <f>C6*12</f>
        <v>52080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31</v>
      </c>
      <c r="C7" s="17">
        <f>Assumptions!C7*Assumptions!C9</f>
        <v>2800</v>
      </c>
      <c r="D7" s="17">
        <f>C7</f>
        <v>2800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37</v>
      </c>
      <c r="C8" s="17">
        <f>SUM(C6:C7)</f>
        <v>7140</v>
      </c>
      <c r="D8" s="17">
        <f>D6+D7</f>
        <v>54880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 t="s">
        <v>43</v>
      </c>
      <c r="C9" s="23"/>
      <c r="D9" s="2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49</v>
      </c>
      <c r="C10" s="17">
        <f>Assumptions!C11*Assumptions!C12</f>
        <v>84</v>
      </c>
      <c r="D10" s="17">
        <f t="shared" ref="D10:D12" si="1">C10*12</f>
        <v>1008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56</v>
      </c>
      <c r="C11" s="17">
        <f>Assumptions!C13</f>
        <v>200</v>
      </c>
      <c r="D11" s="17">
        <f t="shared" si="1"/>
        <v>2400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59</v>
      </c>
      <c r="C12" s="17">
        <f>Assumptions!C14</f>
        <v>570</v>
      </c>
      <c r="D12" s="17">
        <f t="shared" si="1"/>
        <v>6840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60</v>
      </c>
      <c r="C13" s="17">
        <f t="shared" ref="C13:D13" si="2">SUM(C10:C12)</f>
        <v>854</v>
      </c>
      <c r="D13" s="17">
        <f t="shared" si="2"/>
        <v>10248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 t="s">
        <v>64</v>
      </c>
      <c r="C14" s="23"/>
      <c r="D14" s="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65</v>
      </c>
      <c r="C15" s="17">
        <f t="shared" ref="C15:D15" si="3">C8-C13</f>
        <v>6286</v>
      </c>
      <c r="D15" s="17">
        <f t="shared" si="3"/>
        <v>44632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 t="s">
        <v>67</v>
      </c>
      <c r="C16" s="23"/>
      <c r="D16" s="2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69</v>
      </c>
      <c r="C17" s="17">
        <f>Assumptions!C16</f>
        <v>1200</v>
      </c>
      <c r="D17" s="17">
        <f t="shared" ref="D17:D20" si="4">C17*12</f>
        <v>14400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72</v>
      </c>
      <c r="C18" s="17">
        <f>Assumptions!C17</f>
        <v>500</v>
      </c>
      <c r="D18" s="17">
        <f t="shared" si="4"/>
        <v>6000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73</v>
      </c>
      <c r="C19" s="17">
        <f>Assumptions!C18</f>
        <v>500</v>
      </c>
      <c r="D19" s="17">
        <f t="shared" si="4"/>
        <v>6000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74</v>
      </c>
      <c r="C20" s="17">
        <f>SUM(C17:C19)</f>
        <v>2200</v>
      </c>
      <c r="D20" s="17">
        <f t="shared" si="4"/>
        <v>26400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 t="s">
        <v>78</v>
      </c>
      <c r="C21" s="23"/>
      <c r="D21" s="2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 t="s">
        <v>78</v>
      </c>
      <c r="C22" s="17">
        <f t="shared" ref="C22:D22" si="5">C15-C20</f>
        <v>4086</v>
      </c>
      <c r="D22" s="17">
        <f t="shared" si="5"/>
        <v>18232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 t="s">
        <v>79</v>
      </c>
      <c r="C23" s="23"/>
      <c r="D23" s="2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80</v>
      </c>
      <c r="C24" s="17">
        <f>C22*Assumptions!C20</f>
        <v>612.9</v>
      </c>
      <c r="D24" s="17">
        <f>D22*Assumptions!C20</f>
        <v>2734.8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 t="s">
        <v>85</v>
      </c>
      <c r="C25" s="23"/>
      <c r="D25" s="2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6" t="s">
        <v>85</v>
      </c>
      <c r="C26" s="28">
        <f t="shared" ref="C26:D26" si="6">C22-C24</f>
        <v>3473.1</v>
      </c>
      <c r="D26" s="28">
        <f t="shared" si="6"/>
        <v>15497.2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3">
      <c r="B3" s="2" t="s">
        <v>0</v>
      </c>
    </row>
    <row r="4">
      <c r="B4" s="4" t="s">
        <v>3</v>
      </c>
      <c r="D4" s="6" t="s">
        <v>6</v>
      </c>
    </row>
    <row r="5" ht="12.0" customHeight="1">
      <c r="C5" s="8"/>
    </row>
    <row r="6">
      <c r="B6" s="9" t="s">
        <v>9</v>
      </c>
      <c r="C6" s="3"/>
      <c r="D6" s="3"/>
    </row>
    <row r="7">
      <c r="B7" s="5" t="s">
        <v>13</v>
      </c>
      <c r="C7" s="12">
        <v>2200.0</v>
      </c>
      <c r="D7" s="12"/>
    </row>
    <row r="8">
      <c r="B8" s="5" t="s">
        <v>16</v>
      </c>
      <c r="C8" s="12">
        <v>1700.0</v>
      </c>
      <c r="D8" s="12"/>
    </row>
    <row r="9">
      <c r="B9" s="5" t="s">
        <v>18</v>
      </c>
      <c r="C9" s="12">
        <v>84000.0</v>
      </c>
      <c r="D9" s="12"/>
    </row>
    <row r="10">
      <c r="B10" s="5" t="s">
        <v>19</v>
      </c>
      <c r="C10" s="12"/>
      <c r="D10" s="12">
        <f>SUM(C7:C9)</f>
        <v>87900</v>
      </c>
    </row>
    <row r="11">
      <c r="B11" s="9" t="s">
        <v>26</v>
      </c>
      <c r="C11" s="3"/>
      <c r="D11" s="3"/>
    </row>
    <row r="12">
      <c r="B12" s="5" t="s">
        <v>27</v>
      </c>
      <c r="C12" s="12">
        <v>21000.0</v>
      </c>
      <c r="D12" s="12"/>
    </row>
    <row r="13">
      <c r="B13" s="5" t="s">
        <v>29</v>
      </c>
      <c r="C13" s="12">
        <v>20000.0</v>
      </c>
      <c r="D13" s="12"/>
    </row>
    <row r="14">
      <c r="B14" s="5" t="s">
        <v>30</v>
      </c>
      <c r="C14" s="12"/>
      <c r="D14" s="12">
        <f>SUM(C12:C13)</f>
        <v>41000</v>
      </c>
    </row>
    <row r="15">
      <c r="B15" s="9" t="s">
        <v>33</v>
      </c>
      <c r="C15" s="3"/>
      <c r="D15" s="3"/>
    </row>
    <row r="16">
      <c r="B16" s="5" t="s">
        <v>34</v>
      </c>
      <c r="C16" s="12">
        <v>11000.0</v>
      </c>
      <c r="D16" s="12"/>
    </row>
    <row r="17">
      <c r="B17" s="5" t="s">
        <v>35</v>
      </c>
      <c r="C17" s="12"/>
      <c r="D17" s="12">
        <f>C16</f>
        <v>11000</v>
      </c>
    </row>
    <row r="18" ht="4.5" customHeight="1">
      <c r="B18" s="5"/>
      <c r="C18" s="12"/>
      <c r="D18" s="12"/>
    </row>
    <row r="19">
      <c r="B19" s="9" t="s">
        <v>36</v>
      </c>
      <c r="C19" s="3"/>
      <c r="D19" s="21">
        <f>D14-D17</f>
        <v>30000</v>
      </c>
    </row>
    <row r="20" ht="4.5" customHeight="1">
      <c r="B20" s="5"/>
      <c r="C20" s="12"/>
      <c r="D20" s="12"/>
    </row>
    <row r="21">
      <c r="B21" s="9" t="s">
        <v>40</v>
      </c>
      <c r="C21" s="3"/>
      <c r="D21" s="21">
        <f>D19+D10</f>
        <v>117900</v>
      </c>
    </row>
    <row r="22" ht="4.5" customHeight="1">
      <c r="B22" s="5"/>
      <c r="C22" s="12"/>
      <c r="D22" s="12"/>
    </row>
    <row r="23">
      <c r="B23" s="3" t="s">
        <v>44</v>
      </c>
      <c r="C23" s="3"/>
      <c r="D23" s="3"/>
    </row>
    <row r="24">
      <c r="B24" s="5" t="s">
        <v>46</v>
      </c>
      <c r="C24" s="12">
        <v>80000.0</v>
      </c>
      <c r="D24" s="12"/>
    </row>
    <row r="25">
      <c r="B25" s="3" t="s">
        <v>47</v>
      </c>
      <c r="C25" s="3"/>
      <c r="D25" s="21">
        <f>D21-C24</f>
        <v>37900</v>
      </c>
    </row>
    <row r="26" ht="3.0" customHeight="1">
      <c r="B26" s="3"/>
      <c r="C26" s="3"/>
      <c r="D26" s="3"/>
    </row>
    <row r="27">
      <c r="B27" s="5" t="s">
        <v>50</v>
      </c>
      <c r="C27" s="12"/>
      <c r="D27" s="12"/>
    </row>
    <row r="28">
      <c r="B28" s="5" t="s">
        <v>51</v>
      </c>
      <c r="C28" s="12">
        <v>11000.0</v>
      </c>
      <c r="D28" s="12"/>
    </row>
    <row r="29">
      <c r="B29" s="5" t="s">
        <v>52</v>
      </c>
      <c r="C29" s="12">
        <v>26900.0</v>
      </c>
      <c r="D29" s="12"/>
    </row>
    <row r="30">
      <c r="B30" s="3" t="s">
        <v>54</v>
      </c>
      <c r="C30" s="3"/>
      <c r="D30" s="21">
        <f>C28+C29</f>
        <v>37900</v>
      </c>
    </row>
    <row r="31">
      <c r="C31" s="8"/>
    </row>
    <row r="32">
      <c r="C32" s="8"/>
    </row>
    <row r="33">
      <c r="C3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0.38"/>
  </cols>
  <sheetData>
    <row r="2">
      <c r="B2" s="3" t="s">
        <v>1</v>
      </c>
      <c r="C2" s="3"/>
    </row>
    <row r="3">
      <c r="B3" s="5" t="s">
        <v>4</v>
      </c>
      <c r="C3" s="12">
        <f>BS!D30</f>
        <v>37900</v>
      </c>
    </row>
    <row r="4">
      <c r="B4" s="5" t="s">
        <v>17</v>
      </c>
      <c r="C4" s="18">
        <f>BS!C28/(C3)</f>
        <v>0.290237467</v>
      </c>
    </row>
    <row r="5">
      <c r="B5" s="5" t="s">
        <v>28</v>
      </c>
      <c r="C5" s="18">
        <f>BS!C29/C3</f>
        <v>0.709762533</v>
      </c>
    </row>
    <row r="6">
      <c r="B6" s="3" t="s">
        <v>32</v>
      </c>
      <c r="C6" s="20">
        <f>(C5*C9)+(C4*C10)*(1-C11)</f>
        <v>0.03935989446</v>
      </c>
    </row>
    <row r="8">
      <c r="B8" s="3" t="s">
        <v>38</v>
      </c>
      <c r="C8" s="3"/>
    </row>
    <row r="9">
      <c r="B9" s="5" t="s">
        <v>39</v>
      </c>
      <c r="C9" s="18">
        <v>0.0346</v>
      </c>
    </row>
    <row r="10">
      <c r="B10" s="5" t="s">
        <v>41</v>
      </c>
      <c r="C10" s="18">
        <v>0.06</v>
      </c>
    </row>
    <row r="11">
      <c r="B11" s="5" t="s">
        <v>42</v>
      </c>
      <c r="C11" s="18">
        <v>0.15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  <col customWidth="1" min="3" max="3" width="8.38"/>
  </cols>
  <sheetData>
    <row r="2">
      <c r="B2" s="29" t="s">
        <v>90</v>
      </c>
      <c r="C2" s="29"/>
    </row>
    <row r="3">
      <c r="B3" s="30" t="s">
        <v>91</v>
      </c>
      <c r="C3" s="32">
        <v>15.5</v>
      </c>
    </row>
    <row r="4">
      <c r="B4" s="30" t="s">
        <v>61</v>
      </c>
      <c r="C4" s="32">
        <v>10.0</v>
      </c>
    </row>
    <row r="5">
      <c r="B5" s="29" t="s">
        <v>93</v>
      </c>
      <c r="C5" s="33">
        <f>SUM(C3:C4)</f>
        <v>25.5</v>
      </c>
    </row>
    <row r="6">
      <c r="B6" s="34"/>
      <c r="C6" s="33"/>
    </row>
    <row r="7">
      <c r="B7" s="30" t="s">
        <v>99</v>
      </c>
      <c r="C7" s="32">
        <v>6.0</v>
      </c>
    </row>
    <row r="8">
      <c r="B8" s="29" t="s">
        <v>100</v>
      </c>
      <c r="C8" s="33">
        <f>C7</f>
        <v>6</v>
      </c>
    </row>
    <row r="9">
      <c r="B9" s="34"/>
      <c r="C9" s="33"/>
    </row>
    <row r="10">
      <c r="B10" s="29" t="s">
        <v>104</v>
      </c>
      <c r="C10" s="33">
        <f>C5-C8</f>
        <v>19.5</v>
      </c>
    </row>
    <row r="11">
      <c r="B11" s="34"/>
      <c r="C11" s="33"/>
    </row>
    <row r="12">
      <c r="B12" s="30" t="s">
        <v>68</v>
      </c>
      <c r="C12" s="32">
        <v>200.0</v>
      </c>
    </row>
    <row r="13">
      <c r="B13" s="30" t="s">
        <v>70</v>
      </c>
      <c r="C13" s="32">
        <v>570.0</v>
      </c>
    </row>
    <row r="14">
      <c r="B14" s="30" t="s">
        <v>76</v>
      </c>
      <c r="C14" s="32">
        <v>1200.0</v>
      </c>
    </row>
    <row r="15">
      <c r="B15" s="30" t="s">
        <v>81</v>
      </c>
      <c r="C15" s="32">
        <v>500.0</v>
      </c>
    </row>
    <row r="16">
      <c r="B16" s="30" t="s">
        <v>82</v>
      </c>
      <c r="C16" s="32">
        <v>500.0</v>
      </c>
    </row>
    <row r="17">
      <c r="B17" s="29" t="s">
        <v>109</v>
      </c>
      <c r="C17" s="33">
        <f>SUM(C12:C16)</f>
        <v>2970</v>
      </c>
    </row>
    <row r="18">
      <c r="B18" s="34"/>
      <c r="C18" s="34"/>
    </row>
    <row r="19">
      <c r="B19" s="29" t="s">
        <v>111</v>
      </c>
      <c r="C19" s="35">
        <f>C17/C10</f>
        <v>152.3076923</v>
      </c>
    </row>
    <row r="20">
      <c r="B20" s="29" t="s">
        <v>113</v>
      </c>
      <c r="C20" s="37">
        <f>C19*C5</f>
        <v>3883.846154</v>
      </c>
    </row>
  </sheetData>
  <drawing r:id="rId1"/>
</worksheet>
</file>